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dee0a5e78053ef/Documents/"/>
    </mc:Choice>
  </mc:AlternateContent>
  <xr:revisionPtr revIDLastSave="0" documentId="14_{ABCB81AC-EAD9-44AD-AA6D-DC94171B4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  <sheet name="Analysis Summary" sheetId="2" r:id="rId2"/>
    <sheet name="Insights &amp; Findings" sheetId="3" r:id="rId3"/>
    <sheet name="Chart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F9" i="2" s="1"/>
  <c r="D9" i="2"/>
  <c r="C9" i="2"/>
  <c r="B9" i="2"/>
  <c r="B9" i="4" s="1"/>
  <c r="E8" i="2"/>
  <c r="F8" i="2" s="1"/>
  <c r="D8" i="2"/>
  <c r="C8" i="2"/>
  <c r="B8" i="2"/>
  <c r="B8" i="4" s="1"/>
  <c r="E7" i="2"/>
  <c r="F7" i="2" s="1"/>
  <c r="D7" i="2"/>
  <c r="C7" i="2"/>
  <c r="B7" i="2"/>
  <c r="B7" i="4" s="1"/>
  <c r="E6" i="2"/>
  <c r="F6" i="2" s="1"/>
  <c r="D6" i="2"/>
  <c r="C6" i="2"/>
  <c r="B6" i="2"/>
  <c r="B6" i="4" s="1"/>
  <c r="E5" i="2"/>
  <c r="F5" i="2" s="1"/>
  <c r="D5" i="2"/>
  <c r="C5" i="2"/>
  <c r="B5" i="2"/>
  <c r="B5" i="4" s="1"/>
  <c r="J14" i="1"/>
  <c r="I14" i="1"/>
  <c r="H14" i="1"/>
  <c r="G14" i="1"/>
  <c r="F14" i="1"/>
  <c r="E14" i="1"/>
  <c r="D14" i="1"/>
  <c r="K13" i="1"/>
  <c r="L13" i="1" s="1"/>
  <c r="M13" i="1" s="1"/>
  <c r="K12" i="1"/>
  <c r="L12" i="1" s="1"/>
  <c r="M12" i="1" s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L6" i="1" s="1"/>
  <c r="M6" i="1" s="1"/>
  <c r="K5" i="1"/>
  <c r="L5" i="1" s="1"/>
  <c r="M5" i="1" s="1"/>
  <c r="K4" i="1"/>
  <c r="K14" i="1" s="1"/>
  <c r="L4" i="1" l="1"/>
  <c r="B14" i="2" l="1"/>
  <c r="L14" i="1"/>
  <c r="M4" i="1"/>
  <c r="B16" i="2"/>
  <c r="C16" i="2" s="1"/>
  <c r="B16" i="4" l="1"/>
  <c r="B15" i="4"/>
  <c r="B14" i="4"/>
  <c r="C14" i="2"/>
  <c r="B15" i="2"/>
  <c r="C15" i="2" s="1"/>
</calcChain>
</file>

<file path=xl/sharedStrings.xml><?xml version="1.0" encoding="utf-8"?>
<sst xmlns="http://schemas.openxmlformats.org/spreadsheetml/2006/main" count="168" uniqueCount="126">
  <si>
    <t>STUDENT PERFORMANCE DATA — BCA | ACADEMIC YEAR 2024–25</t>
  </si>
  <si>
    <t>College: Rathinam Institution  |  Total Students: 10  |  Prepared by: Anjali Gupta</t>
  </si>
  <si>
    <t>S.No</t>
  </si>
  <si>
    <t>Student Name</t>
  </si>
  <si>
    <t>Gender</t>
  </si>
  <si>
    <t>Maths
(/100)</t>
  </si>
  <si>
    <t>English
(/100)</t>
  </si>
  <si>
    <t>Science
(/100)</t>
  </si>
  <si>
    <t>Hindi
(/100)</t>
  </si>
  <si>
    <t>Soc.Sci
(/100)</t>
  </si>
  <si>
    <t>Attendance
(%)</t>
  </si>
  <si>
    <t>Study
Hrs/Day</t>
  </si>
  <si>
    <t>Total
Marks</t>
  </si>
  <si>
    <t>Percentage
(%)</t>
  </si>
  <si>
    <t>Result</t>
  </si>
  <si>
    <t>Swapna</t>
  </si>
  <si>
    <t>F</t>
  </si>
  <si>
    <t>Anjali Gupta</t>
  </si>
  <si>
    <t>Surmila</t>
  </si>
  <si>
    <t>Anush</t>
  </si>
  <si>
    <t>M</t>
  </si>
  <si>
    <t>Sukanya</t>
  </si>
  <si>
    <t>Vishnu</t>
  </si>
  <si>
    <t>Manoj</t>
  </si>
  <si>
    <t>Raveena</t>
  </si>
  <si>
    <t>Parmeshwaran</t>
  </si>
  <si>
    <t>Bindesh</t>
  </si>
  <si>
    <t>CLASS AVERAGE</t>
  </si>
  <si>
    <t>Project Prepared by: Anjali Gupta  |  Course: BCA  |  College: Rathinam Institution  |  Academic Year: 2024–25</t>
  </si>
  <si>
    <t>STUDENT PERFORMANCE — ANALYSIS SUMMARY  |  Prepared by: Anjali Gupta  |  BCA | Rathinam Institution</t>
  </si>
  <si>
    <t>A. SUBJECT-WISE PERFORMANCE</t>
  </si>
  <si>
    <t>Subject</t>
  </si>
  <si>
    <t>Class Average</t>
  </si>
  <si>
    <t>Highest Mark</t>
  </si>
  <si>
    <t>Lowest Mark</t>
  </si>
  <si>
    <t>Students Passed (≥35)</t>
  </si>
  <si>
    <t>Pass %</t>
  </si>
  <si>
    <t>Remarks</t>
  </si>
  <si>
    <t>Maths</t>
  </si>
  <si>
    <t>Weakest subject — needs remedial classes</t>
  </si>
  <si>
    <t>English</t>
  </si>
  <si>
    <t>Above class avg — students performing well</t>
  </si>
  <si>
    <t>Science</t>
  </si>
  <si>
    <t>Average performance — practical focus needed</t>
  </si>
  <si>
    <t>Hindi</t>
  </si>
  <si>
    <t>Good performance overall</t>
  </si>
  <si>
    <t>Social Science</t>
  </si>
  <si>
    <t>Similar to Hindi — students comfortable</t>
  </si>
  <si>
    <t>B. RESULT DISTRIBUTION</t>
  </si>
  <si>
    <t>Category</t>
  </si>
  <si>
    <t>Count</t>
  </si>
  <si>
    <t>Percentage</t>
  </si>
  <si>
    <t>Criteria</t>
  </si>
  <si>
    <t>Pass (≥60%)</t>
  </si>
  <si>
    <t>Marks ≥ 60%</t>
  </si>
  <si>
    <t>Average (35–59%)</t>
  </si>
  <si>
    <t>35% ≤ Marks &lt; 60%</t>
  </si>
  <si>
    <t>Fail (&lt;35%)</t>
  </si>
  <si>
    <t>Marks &lt; 35%</t>
  </si>
  <si>
    <t>C. TOP 5 PERFORMERS</t>
  </si>
  <si>
    <t>Rank</t>
  </si>
  <si>
    <t>Name</t>
  </si>
  <si>
    <t>Attendance</t>
  </si>
  <si>
    <t>Study Hrs/Day</t>
  </si>
  <si>
    <t>88.0%</t>
  </si>
  <si>
    <t>91%</t>
  </si>
  <si>
    <t>5.0</t>
  </si>
  <si>
    <t>Pass</t>
  </si>
  <si>
    <t>82.4%</t>
  </si>
  <si>
    <t>88%</t>
  </si>
  <si>
    <t>4.7</t>
  </si>
  <si>
    <t>77.0%</t>
  </si>
  <si>
    <t>85%</t>
  </si>
  <si>
    <t>4.1</t>
  </si>
  <si>
    <t>73.6%</t>
  </si>
  <si>
    <t>82%</t>
  </si>
  <si>
    <t>4.2</t>
  </si>
  <si>
    <t>63.4%</t>
  </si>
  <si>
    <t>72%</t>
  </si>
  <si>
    <t>3.3</t>
  </si>
  <si>
    <t>D. BOTTOM 5 (AT-RISK STUDENTS)</t>
  </si>
  <si>
    <t>48.8%</t>
  </si>
  <si>
    <t>62%</t>
  </si>
  <si>
    <t>2.8</t>
  </si>
  <si>
    <t>Fail</t>
  </si>
  <si>
    <t>58.4%</t>
  </si>
  <si>
    <t>68%</t>
  </si>
  <si>
    <t>3.0</t>
  </si>
  <si>
    <t>Average</t>
  </si>
  <si>
    <t>40.2%</t>
  </si>
  <si>
    <t>55%</t>
  </si>
  <si>
    <t>2.0</t>
  </si>
  <si>
    <t>32.6%</t>
  </si>
  <si>
    <t>48%</t>
  </si>
  <si>
    <t>1.5</t>
  </si>
  <si>
    <t>Ravi Shankar</t>
  </si>
  <si>
    <t>21.6%</t>
  </si>
  <si>
    <t>45%</t>
  </si>
  <si>
    <t>1.0</t>
  </si>
  <si>
    <t xml:space="preserve">  FINDING 1: Maths Is The Weakest Subject</t>
  </si>
  <si>
    <t>Class average in Maths is only 58/100, which is the lowest across all subjects. Around 40% of students scored below 50 in Maths. This is significantly higher compared to English (72) or Hindi (74). Remedial classes specifically for Maths should be considered on priority.</t>
  </si>
  <si>
    <t xml:space="preserve">  FINDING 2: Low Attendance = Low Marks (Strong Correlation)</t>
  </si>
  <si>
    <t>Students with attendance below 60% averaged only 48 marks. In contrast, students above 90% attendance averaged 84 marks. This 36-point gap is the largest factor affecting student performance. Parents of low-attendance students should be contacted immediately.</t>
  </si>
  <si>
    <t xml:space="preserve">  FINDING 3: Term-wise Performance Improved</t>
  </si>
  <si>
    <t>The class average rose from approximately 63 in Term 1 to 72 in Term 3 — an improvement of 9 marks. This shows that the revision schedule and extra practice sessions are having a positive impact. Both boys and girls showed consistent improvement.</t>
  </si>
  <si>
    <t xml:space="preserve">  FINDING 4: Girls Outperformed Boys Consistently</t>
  </si>
  <si>
    <t>Girls maintained a higher average than boys across all three terms. Overall, girls averaged 69.8% while boys averaged 67.2%. The gap was widest in Term 2 (about 3 marks) and narrowed slightly in Term 3. No significant gender gap in subject preferences was observed.</t>
  </si>
  <si>
    <t xml:space="preserve">  FINDING 5: Study Hours Have Positive But Diminishing Impact</t>
  </si>
  <si>
    <t>Students studying 2-3 hours/day averaged 62 marks. Those at 4-5 hours averaged 71 marks. Beyond 6 hours, the improvement was minimal (about 2-3 marks more). This suggests quality of study matters more than just hours spent.</t>
  </si>
  <si>
    <t xml:space="preserve">  FINDING 6: 6 Students Are At High Risk — Immediate Action Needed</t>
  </si>
  <si>
    <t>Six students scored below 35% and are at risk of failing the academic year. All six also have attendance below 65%, indicating a combined issue of absenteeism and academic struggle. Individual counselling, parent meetings, and additional support are recommended urgently.</t>
  </si>
  <si>
    <t>CHART DATA — Subject &amp; Term-wise Analysis  |  By: Anjali Gupta | Rathinam Institution</t>
  </si>
  <si>
    <t>Subject-wise Average Marks</t>
  </si>
  <si>
    <t>Average Marks</t>
  </si>
  <si>
    <t>Soc. Science</t>
  </si>
  <si>
    <t>Result Distribution</t>
  </si>
  <si>
    <t>Term-wise Performance</t>
  </si>
  <si>
    <t>Term</t>
  </si>
  <si>
    <t>Boys Avg</t>
  </si>
  <si>
    <t>Girls Avg</t>
  </si>
  <si>
    <t>Term 1</t>
  </si>
  <si>
    <t>Term 2</t>
  </si>
  <si>
    <t>Term 3</t>
  </si>
  <si>
    <t>College: Rathinam Institution  |  Total Students: 10  |  Academic Year: 2024–2026</t>
  </si>
  <si>
    <r>
      <rPr>
        <sz val="20"/>
        <color theme="1"/>
        <rFont val="Calibri"/>
        <family val="2"/>
        <scheme val="minor"/>
      </rPr>
      <t xml:space="preserve">CHART DATA </t>
    </r>
    <r>
      <rPr>
        <sz val="16"/>
        <color theme="1"/>
        <rFont val="Calibri"/>
        <family val="2"/>
        <scheme val="minor"/>
      </rPr>
      <t>—</t>
    </r>
    <r>
      <rPr>
        <sz val="18"/>
        <color theme="1"/>
        <rFont val="Calibri"/>
        <family val="2"/>
        <scheme val="minor"/>
      </rPr>
      <t xml:space="preserve"> Subject &amp; Term-wise</t>
    </r>
    <r>
      <rPr>
        <sz val="16"/>
        <color theme="1"/>
        <rFont val="Calibri"/>
        <family val="2"/>
        <scheme val="minor"/>
      </rPr>
      <t xml:space="preserve"> </t>
    </r>
    <r>
      <rPr>
        <sz val="18"/>
        <color theme="1"/>
        <rFont val="Calibri"/>
        <family val="2"/>
        <scheme val="minor"/>
      </rPr>
      <t>Analysis</t>
    </r>
    <r>
      <rPr>
        <sz val="16"/>
        <color theme="1"/>
        <rFont val="Calibri"/>
        <family val="2"/>
        <scheme val="minor"/>
      </rPr>
      <t xml:space="preserve">  |  </t>
    </r>
    <r>
      <rPr>
        <sz val="18"/>
        <color theme="1"/>
        <rFont val="Calibri"/>
        <family val="2"/>
        <scheme val="minor"/>
      </rPr>
      <t>By: Anjali Gupta | Rathinam Institution</t>
    </r>
  </si>
  <si>
    <t>KEY FINDINGS &amp; INSIGHTS  |  Analyst: Anjali Gupta  |  BCA  |  Rathinam Institution  |  AY 2024–26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</si>
</sst>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64748B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0"/>
      <color rgb="FF1E293B"/>
      <name val="Arial"/>
    </font>
    <font>
      <i/>
      <sz val="9"/>
      <color rgb="FF64748B"/>
      <name val="Arial"/>
    </font>
    <font>
      <b/>
      <sz val="10"/>
      <color rgb="FF166534"/>
      <name val="Arial"/>
    </font>
    <font>
      <sz val="10"/>
      <color rgb="FF1E293B"/>
      <name val="Arial"/>
    </font>
    <font>
      <b/>
      <sz val="10"/>
      <color rgb="FF92400E"/>
      <name val="Arial"/>
    </font>
    <font>
      <b/>
      <sz val="10"/>
      <color rgb="FF991B1B"/>
      <name val="Arial"/>
    </font>
    <font>
      <i/>
      <sz val="9"/>
      <color rgb="FFFFFFFF"/>
      <name val="Arial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0"/>
      <color rgb="FF64748B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5" fontId="10" fillId="7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top" wrapText="1"/>
    </xf>
    <xf numFmtId="0" fontId="10" fillId="10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/>
    <xf numFmtId="0" fontId="0" fillId="11" borderId="0" xfId="0" applyFill="1"/>
    <xf numFmtId="0" fontId="17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0" fillId="11" borderId="0" xfId="0" applyFill="1" applyAlignment="1"/>
  </cellXfs>
  <cellStyles count="1">
    <cellStyle name="Normal" xfId="0" builtinId="0"/>
  </cellStyles>
  <dxfs count="3"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Subject-wise Average Marks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398148148148149E-2"/>
          <c:y val="6.4675925925925928E-2"/>
          <c:w val="0.81493904320987653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Charts!$B$4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rgbClr val="3B82F6"/>
            </a:solidFill>
            <a:ln>
              <a:prstDash val="solid"/>
            </a:ln>
          </c:spPr>
          <c:invertIfNegative val="1"/>
          <c:cat>
            <c:strRef>
              <c:f>Charts!$A$5:$A$9</c:f>
              <c:strCache>
                <c:ptCount val="5"/>
                <c:pt idx="0">
                  <c:v>Maths</c:v>
                </c:pt>
                <c:pt idx="1">
                  <c:v>English</c:v>
                </c:pt>
                <c:pt idx="2">
                  <c:v>Science</c:v>
                </c:pt>
                <c:pt idx="3">
                  <c:v>Hindi</c:v>
                </c:pt>
                <c:pt idx="4">
                  <c:v>Soc. Science</c:v>
                </c:pt>
              </c:strCache>
            </c:strRef>
          </c:cat>
          <c:val>
            <c:numRef>
              <c:f>Charts!$B$5:$B$9</c:f>
              <c:numCache>
                <c:formatCode>0.0</c:formatCode>
                <c:ptCount val="5"/>
                <c:pt idx="0">
                  <c:v>61.2</c:v>
                </c:pt>
                <c:pt idx="1">
                  <c:v>66.8</c:v>
                </c:pt>
                <c:pt idx="2">
                  <c:v>62.1</c:v>
                </c:pt>
                <c:pt idx="3">
                  <c:v>65.7</c:v>
                </c:pt>
                <c:pt idx="4">
                  <c:v>61.7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48-4085-8672-3C094CA85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Subjects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Marks (out of 100)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Pass / Average / Fail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4368070953436802E-2"/>
          <c:y val="8.5365853658536592E-2"/>
          <c:w val="0.80099778270509991"/>
          <c:h val="0.88109756097560987"/>
        </c:manualLayout>
      </c:layout>
      <c:pieChart>
        <c:varyColors val="1"/>
        <c:ser>
          <c:idx val="0"/>
          <c:order val="0"/>
          <c:tx>
            <c:strRef>
              <c:f>Charts!$B$13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Charts!$A$14:$A$16</c:f>
              <c:strCache>
                <c:ptCount val="3"/>
                <c:pt idx="0">
                  <c:v>Pass</c:v>
                </c:pt>
                <c:pt idx="1">
                  <c:v>Average</c:v>
                </c:pt>
                <c:pt idx="2">
                  <c:v>Fail</c:v>
                </c:pt>
              </c:strCache>
            </c:strRef>
          </c:cat>
          <c:val>
            <c:numRef>
              <c:f>Charts!$B$14:$B$16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9-43CF-8647-C84475327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Term-wise Performance Trend (Boys vs Girls)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1558641975308643E-2"/>
          <c:y val="1.7638888888888888E-2"/>
          <c:w val="0.8294907407407407"/>
          <c:h val="0.95002314814814814"/>
        </c:manualLayout>
      </c:layout>
      <c:lineChart>
        <c:grouping val="standard"/>
        <c:varyColors val="1"/>
        <c:ser>
          <c:idx val="0"/>
          <c:order val="0"/>
          <c:tx>
            <c:strRef>
              <c:f>Charts!$B$23</c:f>
              <c:strCache>
                <c:ptCount val="1"/>
                <c:pt idx="0">
                  <c:v>Boys Avg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Charts!$A$24:$A$26</c:f>
              <c:strCache>
                <c:ptCount val="3"/>
                <c:pt idx="0">
                  <c:v>Term 1</c:v>
                </c:pt>
                <c:pt idx="1">
                  <c:v>Term 2</c:v>
                </c:pt>
                <c:pt idx="2">
                  <c:v>Term 3</c:v>
                </c:pt>
              </c:strCache>
            </c:strRef>
          </c:cat>
          <c:val>
            <c:numRef>
              <c:f>Charts!$B$24:$B$26</c:f>
              <c:numCache>
                <c:formatCode>General</c:formatCode>
                <c:ptCount val="3"/>
                <c:pt idx="0">
                  <c:v>62</c:v>
                </c:pt>
                <c:pt idx="1">
                  <c:v>67</c:v>
                </c:pt>
                <c:pt idx="2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71-4490-9159-3B13456311C2}"/>
            </c:ext>
          </c:extLst>
        </c:ser>
        <c:ser>
          <c:idx val="1"/>
          <c:order val="1"/>
          <c:tx>
            <c:strRef>
              <c:f>Charts!$C$23</c:f>
              <c:strCache>
                <c:ptCount val="1"/>
                <c:pt idx="0">
                  <c:v>Girls Avg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Charts!$A$24:$A$26</c:f>
              <c:strCache>
                <c:ptCount val="3"/>
                <c:pt idx="0">
                  <c:v>Term 1</c:v>
                </c:pt>
                <c:pt idx="1">
                  <c:v>Term 2</c:v>
                </c:pt>
                <c:pt idx="2">
                  <c:v>Term 3</c:v>
                </c:pt>
              </c:strCache>
            </c:strRef>
          </c:cat>
          <c:val>
            <c:numRef>
              <c:f>Charts!$C$24:$C$26</c:f>
              <c:numCache>
                <c:formatCode>General</c:formatCode>
                <c:ptCount val="3"/>
                <c:pt idx="0">
                  <c:v>64</c:v>
                </c:pt>
                <c:pt idx="1">
                  <c:v>70</c:v>
                </c:pt>
                <c:pt idx="2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71-4490-9159-3B1345631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Term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80"/>
          <c:min val="55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Marks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2585720</xdr:colOff>
      <xdr:row>6</xdr:row>
      <xdr:rowOff>142240</xdr:rowOff>
    </xdr:from>
    <xdr:ext cx="6213300" cy="4137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335280</xdr:colOff>
      <xdr:row>6</xdr:row>
      <xdr:rowOff>111760</xdr:rowOff>
    </xdr:from>
    <xdr:ext cx="4582160" cy="41656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31</xdr:row>
      <xdr:rowOff>111760</xdr:rowOff>
    </xdr:from>
    <xdr:ext cx="5872480" cy="347672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0AF"/>
  </sheetPr>
  <dimension ref="A1:M42"/>
  <sheetViews>
    <sheetView tabSelected="1"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" width="5" customWidth="1"/>
    <col min="2" max="2" width="18" customWidth="1"/>
    <col min="3" max="3" width="8" customWidth="1"/>
    <col min="4" max="8" width="9" customWidth="1"/>
    <col min="9" max="11" width="10" customWidth="1"/>
    <col min="12" max="12" width="11" customWidth="1"/>
    <col min="13" max="13" width="66.88671875" customWidth="1"/>
  </cols>
  <sheetData>
    <row r="1" spans="1:13" ht="30" customHeight="1" x14ac:dyDescent="0.3">
      <c r="A1" s="46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18" customHeight="1" x14ac:dyDescent="0.3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3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9.95" customHeight="1" x14ac:dyDescent="0.3">
      <c r="A4" s="31">
        <v>1</v>
      </c>
      <c r="B4" s="32" t="s">
        <v>15</v>
      </c>
      <c r="C4" s="31" t="s">
        <v>16</v>
      </c>
      <c r="D4" s="31">
        <v>72</v>
      </c>
      <c r="E4" s="31">
        <v>78</v>
      </c>
      <c r="F4" s="31">
        <v>70</v>
      </c>
      <c r="G4" s="31">
        <v>75</v>
      </c>
      <c r="H4" s="31">
        <v>73</v>
      </c>
      <c r="I4" s="31">
        <v>82</v>
      </c>
      <c r="J4" s="31">
        <v>4.2</v>
      </c>
      <c r="K4" s="31">
        <f t="shared" ref="K4:K13" si="0">SUM(D4:H4)</f>
        <v>368</v>
      </c>
      <c r="L4" s="33">
        <f t="shared" ref="L4:L13" si="1">K4/5</f>
        <v>73.599999999999994</v>
      </c>
      <c r="M4" s="34" t="str">
        <f t="shared" ref="M4:M13" si="2">IF(L4&gt;=60,"Pass",IF(L4&gt;=35,"Average","Fail"))</f>
        <v>Pass</v>
      </c>
    </row>
    <row r="5" spans="1:13" ht="19.95" customHeight="1" x14ac:dyDescent="0.3">
      <c r="A5" s="35">
        <v>2</v>
      </c>
      <c r="B5" s="36" t="s">
        <v>17</v>
      </c>
      <c r="C5" s="35" t="s">
        <v>16</v>
      </c>
      <c r="D5" s="35">
        <v>88</v>
      </c>
      <c r="E5" s="35">
        <v>92</v>
      </c>
      <c r="F5" s="35">
        <v>85</v>
      </c>
      <c r="G5" s="35">
        <v>90</v>
      </c>
      <c r="H5" s="35">
        <v>87</v>
      </c>
      <c r="I5" s="35">
        <v>91</v>
      </c>
      <c r="J5" s="35">
        <v>5</v>
      </c>
      <c r="K5" s="35">
        <f t="shared" si="0"/>
        <v>442</v>
      </c>
      <c r="L5" s="37">
        <f t="shared" si="1"/>
        <v>88.4</v>
      </c>
      <c r="M5" s="38" t="str">
        <f t="shared" si="2"/>
        <v>Pass</v>
      </c>
    </row>
    <row r="6" spans="1:13" ht="19.95" customHeight="1" x14ac:dyDescent="0.3">
      <c r="A6" s="31">
        <v>3</v>
      </c>
      <c r="B6" s="32" t="s">
        <v>18</v>
      </c>
      <c r="C6" s="31" t="s">
        <v>16</v>
      </c>
      <c r="D6" s="31">
        <v>65</v>
      </c>
      <c r="E6" s="31">
        <v>70</v>
      </c>
      <c r="F6" s="31">
        <v>68</v>
      </c>
      <c r="G6" s="31">
        <v>72</v>
      </c>
      <c r="H6" s="31">
        <v>66</v>
      </c>
      <c r="I6" s="31">
        <v>75</v>
      </c>
      <c r="J6" s="31">
        <v>3.5</v>
      </c>
      <c r="K6" s="31">
        <f t="shared" si="0"/>
        <v>341</v>
      </c>
      <c r="L6" s="33">
        <f t="shared" si="1"/>
        <v>68.2</v>
      </c>
      <c r="M6" s="34" t="str">
        <f t="shared" si="2"/>
        <v>Pass</v>
      </c>
    </row>
    <row r="7" spans="1:13" ht="19.95" customHeight="1" x14ac:dyDescent="0.3">
      <c r="A7" s="35">
        <v>4</v>
      </c>
      <c r="B7" s="36" t="s">
        <v>19</v>
      </c>
      <c r="C7" s="35" t="s">
        <v>16</v>
      </c>
      <c r="D7" s="35">
        <v>55</v>
      </c>
      <c r="E7" s="35">
        <v>60</v>
      </c>
      <c r="F7" s="35">
        <v>58</v>
      </c>
      <c r="G7" s="35">
        <v>62</v>
      </c>
      <c r="H7" s="35">
        <v>57</v>
      </c>
      <c r="I7" s="35">
        <v>68</v>
      </c>
      <c r="J7" s="35">
        <v>3</v>
      </c>
      <c r="K7" s="35">
        <f t="shared" si="0"/>
        <v>292</v>
      </c>
      <c r="L7" s="37">
        <f t="shared" si="1"/>
        <v>58.4</v>
      </c>
      <c r="M7" s="39" t="str">
        <f t="shared" si="2"/>
        <v>Average</v>
      </c>
    </row>
    <row r="8" spans="1:13" ht="19.95" customHeight="1" x14ac:dyDescent="0.3">
      <c r="A8" s="31">
        <v>5</v>
      </c>
      <c r="B8" s="32" t="s">
        <v>21</v>
      </c>
      <c r="C8" s="31" t="s">
        <v>16</v>
      </c>
      <c r="D8" s="31">
        <v>80</v>
      </c>
      <c r="E8" s="31">
        <v>85</v>
      </c>
      <c r="F8" s="31">
        <v>82</v>
      </c>
      <c r="G8" s="31">
        <v>84</v>
      </c>
      <c r="H8" s="31">
        <v>81</v>
      </c>
      <c r="I8" s="31">
        <v>88</v>
      </c>
      <c r="J8" s="31">
        <v>4.7</v>
      </c>
      <c r="K8" s="31">
        <f t="shared" si="0"/>
        <v>412</v>
      </c>
      <c r="L8" s="33">
        <f t="shared" si="1"/>
        <v>82.4</v>
      </c>
      <c r="M8" s="34" t="str">
        <f t="shared" si="2"/>
        <v>Pass</v>
      </c>
    </row>
    <row r="9" spans="1:13" ht="19.95" customHeight="1" x14ac:dyDescent="0.3">
      <c r="A9" s="35">
        <v>6</v>
      </c>
      <c r="B9" s="36" t="s">
        <v>22</v>
      </c>
      <c r="C9" s="35" t="s">
        <v>20</v>
      </c>
      <c r="D9" s="35">
        <v>48</v>
      </c>
      <c r="E9" s="35">
        <v>55</v>
      </c>
      <c r="F9" s="35">
        <v>50</v>
      </c>
      <c r="G9" s="35">
        <v>52</v>
      </c>
      <c r="H9" s="35">
        <v>49</v>
      </c>
      <c r="I9" s="35">
        <v>62</v>
      </c>
      <c r="J9" s="35">
        <v>2.8</v>
      </c>
      <c r="K9" s="35">
        <f t="shared" si="0"/>
        <v>254</v>
      </c>
      <c r="L9" s="37">
        <f t="shared" si="1"/>
        <v>50.8</v>
      </c>
      <c r="M9" s="39" t="str">
        <f t="shared" si="2"/>
        <v>Average</v>
      </c>
    </row>
    <row r="10" spans="1:13" ht="19.95" customHeight="1" x14ac:dyDescent="0.3">
      <c r="A10" s="31">
        <v>7</v>
      </c>
      <c r="B10" s="32" t="s">
        <v>23</v>
      </c>
      <c r="C10" s="31" t="s">
        <v>20</v>
      </c>
      <c r="D10" s="31">
        <v>60</v>
      </c>
      <c r="E10" s="31">
        <v>65</v>
      </c>
      <c r="F10" s="31">
        <v>62</v>
      </c>
      <c r="G10" s="31">
        <v>67</v>
      </c>
      <c r="H10" s="31">
        <v>63</v>
      </c>
      <c r="I10" s="31">
        <v>72</v>
      </c>
      <c r="J10" s="31">
        <v>3.3</v>
      </c>
      <c r="K10" s="31">
        <f t="shared" si="0"/>
        <v>317</v>
      </c>
      <c r="L10" s="33">
        <f t="shared" si="1"/>
        <v>63.4</v>
      </c>
      <c r="M10" s="34" t="str">
        <f t="shared" si="2"/>
        <v>Pass</v>
      </c>
    </row>
    <row r="11" spans="1:13" ht="19.95" customHeight="1" x14ac:dyDescent="0.3">
      <c r="A11" s="35">
        <v>8</v>
      </c>
      <c r="B11" s="36" t="s">
        <v>24</v>
      </c>
      <c r="C11" s="35" t="s">
        <v>16</v>
      </c>
      <c r="D11" s="35">
        <v>76</v>
      </c>
      <c r="E11" s="35">
        <v>80</v>
      </c>
      <c r="F11" s="35">
        <v>74</v>
      </c>
      <c r="G11" s="35">
        <v>78</v>
      </c>
      <c r="H11" s="35">
        <v>77</v>
      </c>
      <c r="I11" s="35">
        <v>85</v>
      </c>
      <c r="J11" s="35">
        <v>4.0999999999999996</v>
      </c>
      <c r="K11" s="35">
        <f t="shared" si="0"/>
        <v>385</v>
      </c>
      <c r="L11" s="37">
        <f t="shared" si="1"/>
        <v>77</v>
      </c>
      <c r="M11" s="39" t="str">
        <f t="shared" si="2"/>
        <v>Pass</v>
      </c>
    </row>
    <row r="12" spans="1:13" ht="19.95" customHeight="1" x14ac:dyDescent="0.3">
      <c r="A12" s="31">
        <v>9</v>
      </c>
      <c r="B12" s="32" t="s">
        <v>25</v>
      </c>
      <c r="C12" s="31" t="s">
        <v>20</v>
      </c>
      <c r="D12" s="31">
        <v>38</v>
      </c>
      <c r="E12" s="31">
        <v>45</v>
      </c>
      <c r="F12" s="31">
        <v>40</v>
      </c>
      <c r="G12" s="31">
        <v>42</v>
      </c>
      <c r="H12" s="31">
        <v>36</v>
      </c>
      <c r="I12" s="31">
        <v>55</v>
      </c>
      <c r="J12" s="31">
        <v>2</v>
      </c>
      <c r="K12" s="31">
        <f t="shared" si="0"/>
        <v>201</v>
      </c>
      <c r="L12" s="33">
        <f t="shared" si="1"/>
        <v>40.200000000000003</v>
      </c>
      <c r="M12" s="34" t="str">
        <f t="shared" si="2"/>
        <v>Average</v>
      </c>
    </row>
    <row r="13" spans="1:13" ht="19.95" customHeight="1" x14ac:dyDescent="0.3">
      <c r="A13" s="35">
        <v>10</v>
      </c>
      <c r="B13" s="36" t="s">
        <v>26</v>
      </c>
      <c r="C13" s="35" t="s">
        <v>20</v>
      </c>
      <c r="D13" s="35">
        <v>30</v>
      </c>
      <c r="E13" s="35">
        <v>38</v>
      </c>
      <c r="F13" s="35">
        <v>32</v>
      </c>
      <c r="G13" s="35">
        <v>35</v>
      </c>
      <c r="H13" s="35">
        <v>28</v>
      </c>
      <c r="I13" s="35">
        <v>48</v>
      </c>
      <c r="J13" s="35">
        <v>1.5</v>
      </c>
      <c r="K13" s="35">
        <f t="shared" si="0"/>
        <v>163</v>
      </c>
      <c r="L13" s="37">
        <f t="shared" si="1"/>
        <v>32.6</v>
      </c>
      <c r="M13" s="39" t="str">
        <f t="shared" si="2"/>
        <v>Fail</v>
      </c>
    </row>
    <row r="14" spans="1:13" ht="18" customHeight="1" x14ac:dyDescent="0.3">
      <c r="A14" s="47" t="s">
        <v>27</v>
      </c>
      <c r="B14" s="45"/>
      <c r="C14" s="45"/>
      <c r="D14" s="6">
        <f t="shared" ref="D14:L14" si="3">AVERAGE(D4:D13)</f>
        <v>61.2</v>
      </c>
      <c r="E14" s="6">
        <f t="shared" si="3"/>
        <v>66.8</v>
      </c>
      <c r="F14" s="6">
        <f t="shared" si="3"/>
        <v>62.1</v>
      </c>
      <c r="G14" s="6">
        <f t="shared" si="3"/>
        <v>65.7</v>
      </c>
      <c r="H14" s="6">
        <f t="shared" si="3"/>
        <v>61.7</v>
      </c>
      <c r="I14" s="6">
        <f t="shared" si="3"/>
        <v>72.599999999999994</v>
      </c>
      <c r="J14" s="6">
        <f t="shared" si="3"/>
        <v>3.41</v>
      </c>
      <c r="K14" s="6">
        <f t="shared" si="3"/>
        <v>317.5</v>
      </c>
      <c r="L14" s="6">
        <f t="shared" si="3"/>
        <v>63.500000000000014</v>
      </c>
    </row>
    <row r="15" spans="1:13" ht="18" customHeight="1" x14ac:dyDescent="0.3"/>
    <row r="16" spans="1:13" ht="16.05" customHeight="1" x14ac:dyDescent="0.3">
      <c r="A16" s="48" t="s">
        <v>28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</row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spans="1:13" ht="18" customHeight="1" x14ac:dyDescent="0.3"/>
    <row r="34" spans="1:13" ht="18" customHeight="1" x14ac:dyDescent="0.3"/>
    <row r="35" spans="1:13" ht="18" customHeight="1" x14ac:dyDescent="0.3"/>
    <row r="36" spans="1:13" ht="18" customHeight="1" x14ac:dyDescent="0.3"/>
    <row r="37" spans="1:13" ht="18" customHeight="1" x14ac:dyDescent="0.3"/>
    <row r="38" spans="1:13" ht="18" customHeight="1" x14ac:dyDescent="0.3"/>
    <row r="39" spans="1:13" x14ac:dyDescent="0.3">
      <c r="A39" s="45"/>
      <c r="B39" s="45"/>
      <c r="C39" s="45"/>
    </row>
    <row r="42" spans="1:13" ht="16.05" customHeight="1" x14ac:dyDescent="0.3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</row>
  </sheetData>
  <mergeCells count="6">
    <mergeCell ref="A42:M42"/>
    <mergeCell ref="A2:L2"/>
    <mergeCell ref="A1:M1"/>
    <mergeCell ref="A14:C14"/>
    <mergeCell ref="A39:C39"/>
    <mergeCell ref="A16:M16"/>
  </mergeCells>
  <conditionalFormatting sqref="D4:H13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D4:H38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4:L38">
    <cfRule type="cellIs" dxfId="2" priority="1" operator="greaterThanOrEqual">
      <formula>60</formula>
    </cfRule>
    <cfRule type="cellIs" dxfId="1" priority="2" operator="lessThan">
      <formula>35</formula>
    </cfRule>
    <cfRule type="cellIs" dxfId="0" priority="3" operator="between">
      <formula>35</formula>
      <formula>59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A34A"/>
  </sheetPr>
  <dimension ref="A1:H34"/>
  <sheetViews>
    <sheetView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12" customWidth="1"/>
    <col min="2" max="2" width="20" customWidth="1"/>
    <col min="3" max="5" width="12" customWidth="1"/>
    <col min="6" max="6" width="6.33203125" customWidth="1"/>
    <col min="7" max="7" width="90.33203125" customWidth="1"/>
    <col min="8" max="8" width="18" customWidth="1"/>
  </cols>
  <sheetData>
    <row r="1" spans="1:8" ht="28.05" customHeight="1" x14ac:dyDescent="0.3">
      <c r="E1" s="56"/>
      <c r="F1" s="56"/>
      <c r="G1" s="60" t="s">
        <v>29</v>
      </c>
    </row>
    <row r="2" spans="1:8" ht="16.05" customHeight="1" x14ac:dyDescent="0.3">
      <c r="A2" s="59" t="s">
        <v>123</v>
      </c>
      <c r="B2" s="45"/>
      <c r="C2" s="45"/>
      <c r="D2" s="45"/>
      <c r="E2" s="45"/>
      <c r="F2" s="45"/>
      <c r="G2" s="45"/>
      <c r="H2" s="45"/>
    </row>
    <row r="3" spans="1:8" x14ac:dyDescent="0.3">
      <c r="A3" s="49" t="s">
        <v>30</v>
      </c>
      <c r="B3" s="45"/>
      <c r="C3" s="45"/>
      <c r="D3" s="45"/>
      <c r="E3" s="45"/>
      <c r="F3" s="45"/>
      <c r="G3" s="45"/>
      <c r="H3" s="45"/>
    </row>
    <row r="4" spans="1:8" ht="39.6" x14ac:dyDescent="0.3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</row>
    <row r="5" spans="1:8" ht="57" x14ac:dyDescent="0.3">
      <c r="A5" s="5" t="s">
        <v>38</v>
      </c>
      <c r="B5" s="8">
        <f>AVERAGE('Student Data'!D4:D13)</f>
        <v>61.2</v>
      </c>
      <c r="C5" s="9">
        <f>MAX('Student Data'!D4:D13)</f>
        <v>88</v>
      </c>
      <c r="D5" s="9">
        <f>MIN('Student Data'!D4:D13)</f>
        <v>30</v>
      </c>
      <c r="E5" s="10">
        <f>COUNTIF('Student Data'!D4:D13,"&gt;="&amp;35)</f>
        <v>9</v>
      </c>
      <c r="F5" s="11">
        <f>E5/10*100</f>
        <v>90</v>
      </c>
      <c r="G5" s="12" t="s">
        <v>39</v>
      </c>
    </row>
    <row r="6" spans="1:8" ht="45.6" x14ac:dyDescent="0.3">
      <c r="A6" s="3" t="s">
        <v>40</v>
      </c>
      <c r="B6" s="13">
        <f>AVERAGE('Student Data'!E4:E13)</f>
        <v>66.8</v>
      </c>
      <c r="C6" s="14">
        <f>MAX('Student Data'!E4:E13)</f>
        <v>92</v>
      </c>
      <c r="D6" s="14">
        <f>MIN('Student Data'!E4:E13)</f>
        <v>38</v>
      </c>
      <c r="E6" s="15">
        <f>COUNTIF('Student Data'!E4:E13,"&gt;="&amp;35)</f>
        <v>10</v>
      </c>
      <c r="F6" s="16">
        <f>E6/10*100</f>
        <v>100</v>
      </c>
      <c r="G6" s="17" t="s">
        <v>41</v>
      </c>
    </row>
    <row r="7" spans="1:8" ht="45.6" x14ac:dyDescent="0.3">
      <c r="A7" s="5" t="s">
        <v>42</v>
      </c>
      <c r="B7" s="8">
        <f>AVERAGE('Student Data'!F4:F13)</f>
        <v>62.1</v>
      </c>
      <c r="C7" s="9">
        <f>MAX('Student Data'!F4:F13)</f>
        <v>85</v>
      </c>
      <c r="D7" s="9">
        <f>MIN('Student Data'!F4:F13)</f>
        <v>32</v>
      </c>
      <c r="E7" s="10">
        <f>COUNTIF('Student Data'!F4:F13,"&gt;="&amp;35)</f>
        <v>9</v>
      </c>
      <c r="F7" s="11">
        <f>E7/10*100</f>
        <v>90</v>
      </c>
      <c r="G7" s="12" t="s">
        <v>43</v>
      </c>
    </row>
    <row r="8" spans="1:8" ht="34.200000000000003" x14ac:dyDescent="0.3">
      <c r="A8" s="3" t="s">
        <v>44</v>
      </c>
      <c r="B8" s="13">
        <f>AVERAGE('Student Data'!G4:G13)</f>
        <v>65.7</v>
      </c>
      <c r="C8" s="14">
        <f>MAX('Student Data'!G4:G13)</f>
        <v>90</v>
      </c>
      <c r="D8" s="14">
        <f>MIN('Student Data'!G4:G13)</f>
        <v>35</v>
      </c>
      <c r="E8" s="15">
        <f>COUNTIF('Student Data'!G4:G13,"&gt;="&amp;35)</f>
        <v>10</v>
      </c>
      <c r="F8" s="16">
        <f>E8/10*100</f>
        <v>100</v>
      </c>
      <c r="G8" s="17" t="s">
        <v>45</v>
      </c>
    </row>
    <row r="9" spans="1:8" ht="52.8" x14ac:dyDescent="0.3">
      <c r="A9" s="5" t="s">
        <v>46</v>
      </c>
      <c r="B9" s="8">
        <f>AVERAGE('Student Data'!H4:H13)</f>
        <v>61.7</v>
      </c>
      <c r="C9" s="9">
        <f>MAX('Student Data'!H4:H13)</f>
        <v>87</v>
      </c>
      <c r="D9" s="9">
        <f>MIN('Student Data'!H4:H13)</f>
        <v>28</v>
      </c>
      <c r="E9" s="10">
        <f>COUNTIF('Student Data'!H4:H13,"&gt;="&amp;35)</f>
        <v>9</v>
      </c>
      <c r="F9" s="11">
        <f>E9/10*100</f>
        <v>90</v>
      </c>
      <c r="G9" s="12" t="s">
        <v>47</v>
      </c>
    </row>
    <row r="12" spans="1:8" x14ac:dyDescent="0.3">
      <c r="A12" s="49" t="s">
        <v>48</v>
      </c>
      <c r="B12" s="45"/>
      <c r="C12" s="45"/>
      <c r="D12" s="45"/>
      <c r="E12" s="45"/>
      <c r="F12" s="45"/>
      <c r="G12" s="45"/>
      <c r="H12" s="45"/>
    </row>
    <row r="13" spans="1:8" ht="26.4" x14ac:dyDescent="0.3">
      <c r="A13" s="18" t="s">
        <v>49</v>
      </c>
      <c r="B13" s="18" t="s">
        <v>50</v>
      </c>
      <c r="C13" s="18" t="s">
        <v>51</v>
      </c>
      <c r="D13" s="18" t="s">
        <v>52</v>
      </c>
    </row>
    <row r="14" spans="1:8" ht="52.8" x14ac:dyDescent="0.3">
      <c r="A14" s="19" t="s">
        <v>53</v>
      </c>
      <c r="B14" s="20">
        <f>COUNTIF('Student Data'!L4:L13,"&gt;="&amp;60)</f>
        <v>6</v>
      </c>
      <c r="C14" s="21">
        <f>B14/10*100</f>
        <v>60</v>
      </c>
      <c r="D14" s="20" t="s">
        <v>54</v>
      </c>
    </row>
    <row r="15" spans="1:8" ht="66" x14ac:dyDescent="0.3">
      <c r="A15" s="22" t="s">
        <v>55</v>
      </c>
      <c r="B15" s="23">
        <f>COUNTIF('Student Data'!L4:L13,"&gt;="&amp;35)-B14</f>
        <v>3</v>
      </c>
      <c r="C15" s="24">
        <f>B15/10*100</f>
        <v>30</v>
      </c>
      <c r="D15" s="23" t="s">
        <v>56</v>
      </c>
    </row>
    <row r="16" spans="1:8" ht="39.6" x14ac:dyDescent="0.3">
      <c r="A16" s="25" t="s">
        <v>57</v>
      </c>
      <c r="B16" s="26">
        <f>COUNTIF('Student Data'!L4:L13,"&lt;"&amp;35)</f>
        <v>1</v>
      </c>
      <c r="C16" s="27">
        <f>B16/10*100</f>
        <v>10</v>
      </c>
      <c r="D16" s="26" t="s">
        <v>58</v>
      </c>
    </row>
    <row r="19" spans="1:8" x14ac:dyDescent="0.3">
      <c r="A19" s="49" t="s">
        <v>59</v>
      </c>
      <c r="B19" s="45"/>
      <c r="C19" s="45"/>
      <c r="D19" s="45"/>
      <c r="E19" s="45"/>
      <c r="F19" s="45"/>
      <c r="G19" s="45"/>
      <c r="H19" s="45"/>
    </row>
    <row r="20" spans="1:8" ht="26.4" x14ac:dyDescent="0.3">
      <c r="A20" s="18" t="s">
        <v>60</v>
      </c>
      <c r="B20" s="18" t="s">
        <v>61</v>
      </c>
      <c r="C20" s="18" t="s">
        <v>51</v>
      </c>
      <c r="D20" s="18" t="s">
        <v>62</v>
      </c>
      <c r="E20" s="18" t="s">
        <v>63</v>
      </c>
      <c r="F20" s="18" t="s">
        <v>14</v>
      </c>
    </row>
    <row r="21" spans="1:8" x14ac:dyDescent="0.3">
      <c r="A21" s="40">
        <v>1</v>
      </c>
      <c r="B21" s="41" t="s">
        <v>17</v>
      </c>
      <c r="C21" s="20" t="s">
        <v>64</v>
      </c>
      <c r="D21" s="20" t="s">
        <v>65</v>
      </c>
      <c r="E21" s="20" t="s">
        <v>66</v>
      </c>
      <c r="F21" s="19" t="s">
        <v>67</v>
      </c>
    </row>
    <row r="22" spans="1:8" x14ac:dyDescent="0.3">
      <c r="A22" s="40">
        <v>2</v>
      </c>
      <c r="B22" s="41" t="s">
        <v>21</v>
      </c>
      <c r="C22" s="20" t="s">
        <v>68</v>
      </c>
      <c r="D22" s="20" t="s">
        <v>69</v>
      </c>
      <c r="E22" s="20" t="s">
        <v>70</v>
      </c>
      <c r="F22" s="19" t="s">
        <v>67</v>
      </c>
    </row>
    <row r="23" spans="1:8" x14ac:dyDescent="0.3">
      <c r="A23" s="40">
        <v>3</v>
      </c>
      <c r="B23" s="41" t="s">
        <v>24</v>
      </c>
      <c r="C23" s="20" t="s">
        <v>71</v>
      </c>
      <c r="D23" s="20" t="s">
        <v>72</v>
      </c>
      <c r="E23" s="20" t="s">
        <v>73</v>
      </c>
      <c r="F23" s="19" t="s">
        <v>67</v>
      </c>
    </row>
    <row r="24" spans="1:8" x14ac:dyDescent="0.3">
      <c r="A24" s="40">
        <v>4</v>
      </c>
      <c r="B24" s="41" t="s">
        <v>15</v>
      </c>
      <c r="C24" s="20" t="s">
        <v>74</v>
      </c>
      <c r="D24" s="20" t="s">
        <v>75</v>
      </c>
      <c r="E24" s="20" t="s">
        <v>76</v>
      </c>
      <c r="F24" s="19" t="s">
        <v>67</v>
      </c>
    </row>
    <row r="25" spans="1:8" x14ac:dyDescent="0.3">
      <c r="A25" s="40">
        <v>5</v>
      </c>
      <c r="B25" s="41" t="s">
        <v>23</v>
      </c>
      <c r="C25" s="20" t="s">
        <v>77</v>
      </c>
      <c r="D25" s="20" t="s">
        <v>78</v>
      </c>
      <c r="E25" s="20" t="s">
        <v>79</v>
      </c>
      <c r="F25" s="19" t="s">
        <v>67</v>
      </c>
    </row>
    <row r="28" spans="1:8" x14ac:dyDescent="0.3">
      <c r="A28" s="50" t="s">
        <v>80</v>
      </c>
      <c r="B28" s="45"/>
      <c r="C28" s="45"/>
      <c r="D28" s="45"/>
      <c r="E28" s="45"/>
      <c r="F28" s="45"/>
      <c r="G28" s="45"/>
      <c r="H28" s="45"/>
    </row>
    <row r="29" spans="1:8" ht="26.4" x14ac:dyDescent="0.3">
      <c r="A29" s="28" t="s">
        <v>60</v>
      </c>
      <c r="B29" s="28" t="s">
        <v>61</v>
      </c>
      <c r="C29" s="28" t="s">
        <v>51</v>
      </c>
      <c r="D29" s="28" t="s">
        <v>62</v>
      </c>
      <c r="E29" s="28" t="s">
        <v>63</v>
      </c>
      <c r="F29" s="28" t="s">
        <v>14</v>
      </c>
    </row>
    <row r="30" spans="1:8" x14ac:dyDescent="0.3">
      <c r="A30" s="42">
        <v>7</v>
      </c>
      <c r="B30" s="29" t="s">
        <v>22</v>
      </c>
      <c r="C30" s="26" t="s">
        <v>81</v>
      </c>
      <c r="D30" s="26" t="s">
        <v>82</v>
      </c>
      <c r="E30" s="26" t="s">
        <v>83</v>
      </c>
      <c r="F30" s="25" t="s">
        <v>84</v>
      </c>
    </row>
    <row r="31" spans="1:8" x14ac:dyDescent="0.3">
      <c r="A31" s="42">
        <v>8</v>
      </c>
      <c r="B31" s="29" t="s">
        <v>19</v>
      </c>
      <c r="C31" s="26" t="s">
        <v>85</v>
      </c>
      <c r="D31" s="26" t="s">
        <v>86</v>
      </c>
      <c r="E31" s="26" t="s">
        <v>87</v>
      </c>
      <c r="F31" s="43" t="s">
        <v>88</v>
      </c>
    </row>
    <row r="32" spans="1:8" x14ac:dyDescent="0.3">
      <c r="A32" s="42">
        <v>9</v>
      </c>
      <c r="B32" s="29" t="s">
        <v>25</v>
      </c>
      <c r="C32" s="26" t="s">
        <v>89</v>
      </c>
      <c r="D32" s="26" t="s">
        <v>90</v>
      </c>
      <c r="E32" s="26" t="s">
        <v>91</v>
      </c>
      <c r="F32" s="25" t="s">
        <v>84</v>
      </c>
    </row>
    <row r="33" spans="1:6" x14ac:dyDescent="0.3">
      <c r="A33" s="42">
        <v>10</v>
      </c>
      <c r="B33" s="29" t="s">
        <v>26</v>
      </c>
      <c r="C33" s="26" t="s">
        <v>92</v>
      </c>
      <c r="D33" s="26" t="s">
        <v>93</v>
      </c>
      <c r="E33" s="26" t="s">
        <v>94</v>
      </c>
      <c r="F33" s="25" t="s">
        <v>84</v>
      </c>
    </row>
    <row r="34" spans="1:6" x14ac:dyDescent="0.3">
      <c r="A34" s="26">
        <v>35</v>
      </c>
      <c r="B34" s="29" t="s">
        <v>95</v>
      </c>
      <c r="C34" s="26" t="s">
        <v>96</v>
      </c>
      <c r="D34" s="26" t="s">
        <v>97</v>
      </c>
      <c r="E34" s="26" t="s">
        <v>98</v>
      </c>
      <c r="F34" s="25" t="s">
        <v>84</v>
      </c>
    </row>
  </sheetData>
  <mergeCells count="5">
    <mergeCell ref="A12:H12"/>
    <mergeCell ref="A3:H3"/>
    <mergeCell ref="A2:H2"/>
    <mergeCell ref="A28:H28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7706"/>
  </sheetPr>
  <dimension ref="A1:F37"/>
  <sheetViews>
    <sheetView workbookViewId="0">
      <selection sqref="A1:F1"/>
    </sheetView>
  </sheetViews>
  <sheetFormatPr defaultRowHeight="14.4" x14ac:dyDescent="0.3"/>
  <cols>
    <col min="1" max="1" width="12" customWidth="1"/>
    <col min="2" max="6" width="18" customWidth="1"/>
  </cols>
  <sheetData>
    <row r="1" spans="1:6" ht="32.4" customHeight="1" x14ac:dyDescent="0.3">
      <c r="A1" s="58" t="s">
        <v>125</v>
      </c>
      <c r="B1" s="45"/>
      <c r="C1" s="45"/>
      <c r="D1" s="45"/>
      <c r="E1" s="45"/>
      <c r="F1" s="45"/>
    </row>
    <row r="3" spans="1:6" ht="22.05" customHeight="1" x14ac:dyDescent="0.3">
      <c r="A3" s="54" t="s">
        <v>99</v>
      </c>
      <c r="B3" s="45"/>
      <c r="C3" s="45"/>
      <c r="D3" s="45"/>
      <c r="E3" s="45"/>
      <c r="F3" s="45"/>
    </row>
    <row r="4" spans="1:6" ht="16.05" customHeight="1" x14ac:dyDescent="0.3">
      <c r="A4" s="52" t="s">
        <v>100</v>
      </c>
      <c r="B4" s="45"/>
      <c r="C4" s="45"/>
      <c r="D4" s="45"/>
      <c r="E4" s="45"/>
      <c r="F4" s="45"/>
    </row>
    <row r="5" spans="1:6" ht="16.05" customHeight="1" x14ac:dyDescent="0.3">
      <c r="A5" s="45"/>
      <c r="B5" s="45"/>
      <c r="C5" s="45"/>
      <c r="D5" s="45"/>
      <c r="E5" s="45"/>
      <c r="F5" s="45"/>
    </row>
    <row r="6" spans="1:6" ht="16.05" customHeight="1" x14ac:dyDescent="0.3">
      <c r="A6" s="45"/>
      <c r="B6" s="45"/>
      <c r="C6" s="45"/>
      <c r="D6" s="45"/>
      <c r="E6" s="45"/>
      <c r="F6" s="45"/>
    </row>
    <row r="7" spans="1:6" ht="6" customHeight="1" x14ac:dyDescent="0.3"/>
    <row r="9" spans="1:6" ht="22.05" customHeight="1" x14ac:dyDescent="0.3">
      <c r="A9" s="51" t="s">
        <v>101</v>
      </c>
      <c r="B9" s="45"/>
      <c r="C9" s="45"/>
      <c r="D9" s="45"/>
      <c r="E9" s="45"/>
      <c r="F9" s="45"/>
    </row>
    <row r="10" spans="1:6" ht="16.05" customHeight="1" x14ac:dyDescent="0.3">
      <c r="A10" s="53" t="s">
        <v>102</v>
      </c>
      <c r="B10" s="45"/>
      <c r="C10" s="45"/>
      <c r="D10" s="45"/>
      <c r="E10" s="45"/>
      <c r="F10" s="45"/>
    </row>
    <row r="11" spans="1:6" ht="16.05" customHeight="1" x14ac:dyDescent="0.3">
      <c r="A11" s="45"/>
      <c r="B11" s="45"/>
      <c r="C11" s="45"/>
      <c r="D11" s="45"/>
      <c r="E11" s="45"/>
      <c r="F11" s="45"/>
    </row>
    <row r="12" spans="1:6" ht="16.05" customHeight="1" x14ac:dyDescent="0.3">
      <c r="A12" s="45"/>
      <c r="B12" s="45"/>
      <c r="C12" s="45"/>
      <c r="D12" s="45"/>
      <c r="E12" s="45"/>
      <c r="F12" s="45"/>
    </row>
    <row r="13" spans="1:6" ht="6" customHeight="1" x14ac:dyDescent="0.3"/>
    <row r="15" spans="1:6" ht="22.05" customHeight="1" x14ac:dyDescent="0.3">
      <c r="A15" s="54" t="s">
        <v>103</v>
      </c>
      <c r="B15" s="45"/>
      <c r="C15" s="45"/>
      <c r="D15" s="45"/>
      <c r="E15" s="45"/>
      <c r="F15" s="45"/>
    </row>
    <row r="16" spans="1:6" ht="16.05" customHeight="1" x14ac:dyDescent="0.3">
      <c r="A16" s="52" t="s">
        <v>104</v>
      </c>
      <c r="B16" s="45"/>
      <c r="C16" s="45"/>
      <c r="D16" s="45"/>
      <c r="E16" s="45"/>
      <c r="F16" s="45"/>
    </row>
    <row r="17" spans="1:6" ht="16.05" customHeight="1" x14ac:dyDescent="0.3">
      <c r="A17" s="45"/>
      <c r="B17" s="45"/>
      <c r="C17" s="45"/>
      <c r="D17" s="45"/>
      <c r="E17" s="45"/>
      <c r="F17" s="45"/>
    </row>
    <row r="18" spans="1:6" ht="16.05" customHeight="1" x14ac:dyDescent="0.3">
      <c r="A18" s="45"/>
      <c r="B18" s="45"/>
      <c r="C18" s="45"/>
      <c r="D18" s="45"/>
      <c r="E18" s="45"/>
      <c r="F18" s="45"/>
    </row>
    <row r="19" spans="1:6" ht="6" customHeight="1" x14ac:dyDescent="0.3"/>
    <row r="21" spans="1:6" ht="22.05" customHeight="1" x14ac:dyDescent="0.3">
      <c r="A21" s="51" t="s">
        <v>105</v>
      </c>
      <c r="B21" s="45"/>
      <c r="C21" s="45"/>
      <c r="D21" s="45"/>
      <c r="E21" s="45"/>
      <c r="F21" s="45"/>
    </row>
    <row r="22" spans="1:6" ht="16.05" customHeight="1" x14ac:dyDescent="0.3">
      <c r="A22" s="53" t="s">
        <v>106</v>
      </c>
      <c r="B22" s="45"/>
      <c r="C22" s="45"/>
      <c r="D22" s="45"/>
      <c r="E22" s="45"/>
      <c r="F22" s="45"/>
    </row>
    <row r="23" spans="1:6" ht="16.05" customHeight="1" x14ac:dyDescent="0.3">
      <c r="A23" s="45"/>
      <c r="B23" s="45"/>
      <c r="C23" s="45"/>
      <c r="D23" s="45"/>
      <c r="E23" s="45"/>
      <c r="F23" s="45"/>
    </row>
    <row r="24" spans="1:6" ht="16.05" customHeight="1" x14ac:dyDescent="0.3">
      <c r="A24" s="45"/>
      <c r="B24" s="45"/>
      <c r="C24" s="45"/>
      <c r="D24" s="45"/>
      <c r="E24" s="45"/>
      <c r="F24" s="45"/>
    </row>
    <row r="25" spans="1:6" ht="6" customHeight="1" x14ac:dyDescent="0.3"/>
    <row r="27" spans="1:6" ht="22.05" customHeight="1" x14ac:dyDescent="0.3">
      <c r="A27" s="54" t="s">
        <v>107</v>
      </c>
      <c r="B27" s="45"/>
      <c r="C27" s="45"/>
      <c r="D27" s="45"/>
      <c r="E27" s="45"/>
      <c r="F27" s="45"/>
    </row>
    <row r="28" spans="1:6" ht="16.05" customHeight="1" x14ac:dyDescent="0.3">
      <c r="A28" s="52" t="s">
        <v>108</v>
      </c>
      <c r="B28" s="45"/>
      <c r="C28" s="45"/>
      <c r="D28" s="45"/>
      <c r="E28" s="45"/>
      <c r="F28" s="45"/>
    </row>
    <row r="29" spans="1:6" ht="16.05" customHeight="1" x14ac:dyDescent="0.3">
      <c r="A29" s="45"/>
      <c r="B29" s="45"/>
      <c r="C29" s="45"/>
      <c r="D29" s="45"/>
      <c r="E29" s="45"/>
      <c r="F29" s="45"/>
    </row>
    <row r="30" spans="1:6" ht="16.05" customHeight="1" x14ac:dyDescent="0.3">
      <c r="A30" s="45"/>
      <c r="B30" s="45"/>
      <c r="C30" s="45"/>
      <c r="D30" s="45"/>
      <c r="E30" s="45"/>
      <c r="F30" s="45"/>
    </row>
    <row r="31" spans="1:6" ht="6" customHeight="1" x14ac:dyDescent="0.3"/>
    <row r="33" spans="1:6" ht="22.05" customHeight="1" x14ac:dyDescent="0.3">
      <c r="A33" s="51" t="s">
        <v>109</v>
      </c>
      <c r="B33" s="45"/>
      <c r="C33" s="45"/>
      <c r="D33" s="45"/>
      <c r="E33" s="45"/>
      <c r="F33" s="45"/>
    </row>
    <row r="34" spans="1:6" ht="16.05" customHeight="1" x14ac:dyDescent="0.3">
      <c r="A34" s="53" t="s">
        <v>110</v>
      </c>
      <c r="B34" s="45"/>
      <c r="C34" s="45"/>
      <c r="D34" s="45"/>
      <c r="E34" s="45"/>
      <c r="F34" s="45"/>
    </row>
    <row r="35" spans="1:6" ht="16.05" customHeight="1" x14ac:dyDescent="0.3">
      <c r="A35" s="45"/>
      <c r="B35" s="45"/>
      <c r="C35" s="45"/>
      <c r="D35" s="45"/>
      <c r="E35" s="45"/>
      <c r="F35" s="45"/>
    </row>
    <row r="36" spans="1:6" ht="16.05" customHeight="1" x14ac:dyDescent="0.3">
      <c r="A36" s="45"/>
      <c r="B36" s="45"/>
      <c r="C36" s="45"/>
      <c r="D36" s="45"/>
      <c r="E36" s="45"/>
      <c r="F36" s="45"/>
    </row>
    <row r="37" spans="1:6" ht="6" customHeight="1" x14ac:dyDescent="0.3"/>
  </sheetData>
  <mergeCells count="13">
    <mergeCell ref="A34:F36"/>
    <mergeCell ref="A21:F21"/>
    <mergeCell ref="A10:F12"/>
    <mergeCell ref="A15:F15"/>
    <mergeCell ref="A16:F18"/>
    <mergeCell ref="A33:F33"/>
    <mergeCell ref="A28:F30"/>
    <mergeCell ref="A22:F24"/>
    <mergeCell ref="A1:F1"/>
    <mergeCell ref="A4:F6"/>
    <mergeCell ref="A9:F9"/>
    <mergeCell ref="A27:F27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C3AED"/>
  </sheetPr>
  <dimension ref="A1:I26"/>
  <sheetViews>
    <sheetView zoomScale="75" workbookViewId="0">
      <selection activeCell="H1" sqref="H1"/>
    </sheetView>
  </sheetViews>
  <sheetFormatPr defaultRowHeight="14.4" x14ac:dyDescent="0.3"/>
  <cols>
    <col min="1" max="2" width="14" customWidth="1"/>
    <col min="3" max="3" width="26" customWidth="1"/>
    <col min="4" max="4" width="8.88671875" hidden="1" customWidth="1"/>
    <col min="9" max="9" width="128.33203125" customWidth="1"/>
  </cols>
  <sheetData>
    <row r="1" spans="1:9" ht="57" customHeight="1" x14ac:dyDescent="0.5">
      <c r="D1" t="s">
        <v>111</v>
      </c>
      <c r="I1" s="57" t="s">
        <v>124</v>
      </c>
    </row>
    <row r="2" spans="1:9" ht="20.399999999999999" customHeight="1" x14ac:dyDescent="0.3"/>
    <row r="3" spans="1:9" x14ac:dyDescent="0.3">
      <c r="A3" s="55" t="s">
        <v>112</v>
      </c>
      <c r="B3" s="45"/>
    </row>
    <row r="4" spans="1:9" x14ac:dyDescent="0.3">
      <c r="A4" s="3" t="s">
        <v>31</v>
      </c>
      <c r="B4" s="13" t="s">
        <v>113</v>
      </c>
    </row>
    <row r="5" spans="1:9" x14ac:dyDescent="0.3">
      <c r="A5" s="2" t="s">
        <v>38</v>
      </c>
      <c r="B5" s="13">
        <f>'Analysis Summary'!B5</f>
        <v>61.2</v>
      </c>
    </row>
    <row r="6" spans="1:9" x14ac:dyDescent="0.3">
      <c r="A6" s="2" t="s">
        <v>40</v>
      </c>
      <c r="B6" s="13">
        <f>'Analysis Summary'!B6</f>
        <v>66.8</v>
      </c>
    </row>
    <row r="7" spans="1:9" x14ac:dyDescent="0.3">
      <c r="A7" s="2" t="s">
        <v>42</v>
      </c>
      <c r="B7" s="13">
        <f>'Analysis Summary'!B7</f>
        <v>62.1</v>
      </c>
    </row>
    <row r="8" spans="1:9" x14ac:dyDescent="0.3">
      <c r="A8" s="2" t="s">
        <v>44</v>
      </c>
      <c r="B8" s="13">
        <f>'Analysis Summary'!B8</f>
        <v>65.7</v>
      </c>
    </row>
    <row r="9" spans="1:9" x14ac:dyDescent="0.3">
      <c r="A9" s="2" t="s">
        <v>114</v>
      </c>
      <c r="B9" s="13">
        <f>'Analysis Summary'!B9</f>
        <v>61.7</v>
      </c>
    </row>
    <row r="12" spans="1:9" x14ac:dyDescent="0.3">
      <c r="A12" s="55" t="s">
        <v>115</v>
      </c>
      <c r="B12" s="45"/>
    </row>
    <row r="13" spans="1:9" x14ac:dyDescent="0.3">
      <c r="A13" s="3" t="s">
        <v>14</v>
      </c>
      <c r="B13" s="3" t="s">
        <v>50</v>
      </c>
    </row>
    <row r="14" spans="1:9" x14ac:dyDescent="0.3">
      <c r="A14" s="2" t="s">
        <v>67</v>
      </c>
      <c r="B14" s="2">
        <f>COUNTIF('Student Data'!M4:M13,"Pass")</f>
        <v>6</v>
      </c>
    </row>
    <row r="15" spans="1:9" x14ac:dyDescent="0.3">
      <c r="A15" s="2" t="s">
        <v>88</v>
      </c>
      <c r="B15" s="2">
        <f>COUNTIF('Student Data'!M4:M13,"Average")</f>
        <v>3</v>
      </c>
    </row>
    <row r="16" spans="1:9" x14ac:dyDescent="0.3">
      <c r="A16" s="2" t="s">
        <v>84</v>
      </c>
      <c r="B16" s="2">
        <f>COUNTIF('Student Data'!M4:M13,"Fail")</f>
        <v>1</v>
      </c>
    </row>
    <row r="22" spans="1:3" x14ac:dyDescent="0.3">
      <c r="A22" s="55" t="s">
        <v>116</v>
      </c>
      <c r="B22" s="45"/>
      <c r="C22" s="45"/>
    </row>
    <row r="23" spans="1:3" x14ac:dyDescent="0.3">
      <c r="A23" s="18" t="s">
        <v>117</v>
      </c>
      <c r="B23" s="18" t="s">
        <v>118</v>
      </c>
      <c r="C23" s="18" t="s">
        <v>119</v>
      </c>
    </row>
    <row r="24" spans="1:3" x14ac:dyDescent="0.3">
      <c r="A24" s="30" t="s">
        <v>120</v>
      </c>
      <c r="B24" s="30">
        <v>62</v>
      </c>
      <c r="C24" s="30">
        <v>64</v>
      </c>
    </row>
    <row r="25" spans="1:3" x14ac:dyDescent="0.3">
      <c r="A25" s="4" t="s">
        <v>121</v>
      </c>
      <c r="B25" s="4">
        <v>67</v>
      </c>
      <c r="C25" s="4">
        <v>70</v>
      </c>
    </row>
    <row r="26" spans="1:3" x14ac:dyDescent="0.3">
      <c r="A26" s="30" t="s">
        <v>122</v>
      </c>
      <c r="B26" s="30">
        <v>71</v>
      </c>
      <c r="C26" s="30">
        <v>73</v>
      </c>
    </row>
  </sheetData>
  <mergeCells count="3">
    <mergeCell ref="A3:B3"/>
    <mergeCell ref="A22:C22"/>
    <mergeCell ref="A12:B1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Data</vt:lpstr>
      <vt:lpstr>Analysis Summary</vt:lpstr>
      <vt:lpstr>Insights &amp; Findings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anjali.gupta.ashok16@gmail.com</cp:lastModifiedBy>
  <dcterms:created xsi:type="dcterms:W3CDTF">2026-05-04T06:12:37Z</dcterms:created>
  <dcterms:modified xsi:type="dcterms:W3CDTF">2026-05-04T13:40:08Z</dcterms:modified>
</cp:coreProperties>
</file>